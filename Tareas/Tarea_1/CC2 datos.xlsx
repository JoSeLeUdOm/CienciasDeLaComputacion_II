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udiantes\Documents\"/>
    </mc:Choice>
  </mc:AlternateContent>
  <xr:revisionPtr revIDLastSave="0" documentId="8_{5C76F7F8-AEF5-4936-9D0F-D43C86167778}" xr6:coauthVersionLast="47" xr6:coauthVersionMax="47" xr10:uidLastSave="{00000000-0000-0000-0000-000000000000}"/>
  <bookViews>
    <workbookView xWindow="-120" yWindow="-120" windowWidth="29040" windowHeight="15720" xr2:uid="{5C4E3C7D-A221-492E-8752-60D88F5100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4" i="1" l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13" i="1"/>
  <c r="R13" i="1" s="1"/>
  <c r="L27" i="1"/>
  <c r="L59" i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K60" i="1"/>
  <c r="L60" i="1" s="1"/>
  <c r="K61" i="1"/>
  <c r="L61" i="1" s="1"/>
  <c r="K62" i="1"/>
  <c r="L62" i="1" s="1"/>
  <c r="K13" i="1"/>
  <c r="L13" i="1" s="1"/>
  <c r="I13" i="1"/>
  <c r="G16" i="1"/>
  <c r="H16" i="1" s="1"/>
  <c r="I16" i="1" s="1"/>
  <c r="N16" i="1" s="1"/>
  <c r="G17" i="1"/>
  <c r="H17" i="1" s="1"/>
  <c r="I17" i="1" s="1"/>
  <c r="G18" i="1"/>
  <c r="H18" i="1" s="1"/>
  <c r="I18" i="1" s="1"/>
  <c r="N18" i="1" s="1"/>
  <c r="G19" i="1"/>
  <c r="H19" i="1" s="1"/>
  <c r="I19" i="1" s="1"/>
  <c r="G20" i="1"/>
  <c r="H20" i="1" s="1"/>
  <c r="I20" i="1" s="1"/>
  <c r="G21" i="1"/>
  <c r="H21" i="1" s="1"/>
  <c r="I21" i="1" s="1"/>
  <c r="G22" i="1"/>
  <c r="H22" i="1" s="1"/>
  <c r="I22" i="1" s="1"/>
  <c r="N22" i="1" s="1"/>
  <c r="G23" i="1"/>
  <c r="H23" i="1" s="1"/>
  <c r="I23" i="1" s="1"/>
  <c r="G24" i="1"/>
  <c r="H24" i="1" s="1"/>
  <c r="I24" i="1" s="1"/>
  <c r="N24" i="1" s="1"/>
  <c r="G25" i="1"/>
  <c r="H25" i="1" s="1"/>
  <c r="I25" i="1" s="1"/>
  <c r="G26" i="1"/>
  <c r="H26" i="1" s="1"/>
  <c r="I26" i="1" s="1"/>
  <c r="N26" i="1" s="1"/>
  <c r="G27" i="1"/>
  <c r="H27" i="1" s="1"/>
  <c r="I27" i="1" s="1"/>
  <c r="N27" i="1" s="1"/>
  <c r="G28" i="1"/>
  <c r="H28" i="1" s="1"/>
  <c r="I28" i="1" s="1"/>
  <c r="G29" i="1"/>
  <c r="H29" i="1" s="1"/>
  <c r="I29" i="1" s="1"/>
  <c r="G30" i="1"/>
  <c r="H30" i="1" s="1"/>
  <c r="I30" i="1" s="1"/>
  <c r="N30" i="1" s="1"/>
  <c r="G31" i="1"/>
  <c r="H31" i="1" s="1"/>
  <c r="I31" i="1" s="1"/>
  <c r="G32" i="1"/>
  <c r="H32" i="1" s="1"/>
  <c r="I32" i="1" s="1"/>
  <c r="N32" i="1" s="1"/>
  <c r="G33" i="1"/>
  <c r="H33" i="1" s="1"/>
  <c r="I33" i="1" s="1"/>
  <c r="G34" i="1"/>
  <c r="H34" i="1" s="1"/>
  <c r="I34" i="1" s="1"/>
  <c r="N34" i="1" s="1"/>
  <c r="G35" i="1"/>
  <c r="H35" i="1" s="1"/>
  <c r="I35" i="1" s="1"/>
  <c r="G36" i="1"/>
  <c r="H36" i="1" s="1"/>
  <c r="I36" i="1" s="1"/>
  <c r="G37" i="1"/>
  <c r="H37" i="1" s="1"/>
  <c r="I37" i="1" s="1"/>
  <c r="G38" i="1"/>
  <c r="H38" i="1" s="1"/>
  <c r="I38" i="1" s="1"/>
  <c r="N38" i="1" s="1"/>
  <c r="G39" i="1"/>
  <c r="H39" i="1" s="1"/>
  <c r="I39" i="1" s="1"/>
  <c r="G40" i="1"/>
  <c r="H40" i="1" s="1"/>
  <c r="I40" i="1" s="1"/>
  <c r="N40" i="1" s="1"/>
  <c r="G41" i="1"/>
  <c r="H41" i="1" s="1"/>
  <c r="I41" i="1" s="1"/>
  <c r="G42" i="1"/>
  <c r="H42" i="1" s="1"/>
  <c r="I42" i="1" s="1"/>
  <c r="N42" i="1" s="1"/>
  <c r="G43" i="1"/>
  <c r="H43" i="1" s="1"/>
  <c r="I43" i="1" s="1"/>
  <c r="G44" i="1"/>
  <c r="H44" i="1" s="1"/>
  <c r="I44" i="1" s="1"/>
  <c r="G45" i="1"/>
  <c r="H45" i="1" s="1"/>
  <c r="I45" i="1" s="1"/>
  <c r="G46" i="1"/>
  <c r="H46" i="1" s="1"/>
  <c r="I46" i="1" s="1"/>
  <c r="N46" i="1" s="1"/>
  <c r="G47" i="1"/>
  <c r="H47" i="1" s="1"/>
  <c r="I47" i="1" s="1"/>
  <c r="G48" i="1"/>
  <c r="H48" i="1" s="1"/>
  <c r="I48" i="1" s="1"/>
  <c r="N48" i="1" s="1"/>
  <c r="G49" i="1"/>
  <c r="H49" i="1" s="1"/>
  <c r="I49" i="1" s="1"/>
  <c r="G50" i="1"/>
  <c r="H50" i="1" s="1"/>
  <c r="I50" i="1" s="1"/>
  <c r="G51" i="1"/>
  <c r="H51" i="1" s="1"/>
  <c r="I51" i="1" s="1"/>
  <c r="G52" i="1"/>
  <c r="H52" i="1" s="1"/>
  <c r="I52" i="1" s="1"/>
  <c r="G53" i="1"/>
  <c r="H53" i="1" s="1"/>
  <c r="I53" i="1" s="1"/>
  <c r="G54" i="1"/>
  <c r="H54" i="1" s="1"/>
  <c r="I54" i="1" s="1"/>
  <c r="N54" i="1" s="1"/>
  <c r="G55" i="1"/>
  <c r="H55" i="1" s="1"/>
  <c r="I55" i="1" s="1"/>
  <c r="G56" i="1"/>
  <c r="H56" i="1" s="1"/>
  <c r="I56" i="1" s="1"/>
  <c r="N56" i="1" s="1"/>
  <c r="G57" i="1"/>
  <c r="H57" i="1" s="1"/>
  <c r="I57" i="1" s="1"/>
  <c r="G58" i="1"/>
  <c r="H58" i="1" s="1"/>
  <c r="I58" i="1" s="1"/>
  <c r="N58" i="1" s="1"/>
  <c r="G59" i="1"/>
  <c r="H59" i="1" s="1"/>
  <c r="I59" i="1" s="1"/>
  <c r="N59" i="1" s="1"/>
  <c r="G60" i="1"/>
  <c r="H60" i="1" s="1"/>
  <c r="I60" i="1" s="1"/>
  <c r="G61" i="1"/>
  <c r="H61" i="1" s="1"/>
  <c r="I61" i="1" s="1"/>
  <c r="G62" i="1"/>
  <c r="H62" i="1" s="1"/>
  <c r="I62" i="1" s="1"/>
  <c r="N62" i="1" s="1"/>
  <c r="G15" i="1"/>
  <c r="H15" i="1" s="1"/>
  <c r="I15" i="1" s="1"/>
  <c r="G14" i="1"/>
  <c r="H14" i="1" s="1"/>
  <c r="I14" i="1" s="1"/>
  <c r="N14" i="1" s="1"/>
  <c r="G13" i="1"/>
  <c r="N51" i="1" l="1"/>
  <c r="N43" i="1"/>
  <c r="N35" i="1"/>
  <c r="N19" i="1"/>
  <c r="N15" i="1"/>
  <c r="N55" i="1"/>
  <c r="N47" i="1"/>
  <c r="N39" i="1"/>
  <c r="N31" i="1"/>
  <c r="N23" i="1"/>
  <c r="N57" i="1"/>
  <c r="N29" i="1"/>
  <c r="N61" i="1"/>
  <c r="N45" i="1"/>
  <c r="N37" i="1"/>
  <c r="N60" i="1"/>
  <c r="N52" i="1"/>
  <c r="N44" i="1"/>
  <c r="N36" i="1"/>
  <c r="N28" i="1"/>
  <c r="N20" i="1"/>
  <c r="N50" i="1"/>
  <c r="N53" i="1"/>
  <c r="N21" i="1"/>
  <c r="N49" i="1"/>
  <c r="N41" i="1"/>
  <c r="N33" i="1"/>
  <c r="N25" i="1"/>
  <c r="N17" i="1"/>
  <c r="N13" i="1"/>
</calcChain>
</file>

<file path=xl/sharedStrings.xml><?xml version="1.0" encoding="utf-8"?>
<sst xmlns="http://schemas.openxmlformats.org/spreadsheetml/2006/main" count="10" uniqueCount="10">
  <si>
    <t>M</t>
  </si>
  <si>
    <t># Pasos</t>
  </si>
  <si>
    <t>Datos</t>
  </si>
  <si>
    <t>Log2(M)</t>
  </si>
  <si>
    <t>Red LogM(Datos</t>
  </si>
  <si>
    <t>LogM(Datos)</t>
  </si>
  <si>
    <t>Costo Memoria</t>
  </si>
  <si>
    <t># Pasos Ram</t>
  </si>
  <si>
    <t># Pasos Disco</t>
  </si>
  <si>
    <t>Desperdicio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</si>
</sst>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166" fontId="0" fillId="0" borderId="0" xfId="1" applyNumberFormat="1" applyFont="1"/>
    <xf numFmtId="166" fontId="0" fillId="0" borderId="0" xfId="1" applyNumberFormat="1" applyFont="1" applyAlignment="1">
      <alignment horizontal="center" vertical="center"/>
    </xf>
    <xf numFmtId="166" fontId="0" fillId="2" borderId="0" xfId="1" applyNumberFormat="1" applyFont="1" applyFill="1" applyAlignment="1">
      <alignment horizontal="center" vertical="center"/>
    </xf>
    <xf numFmtId="166" fontId="0" fillId="0" borderId="0" xfId="0" applyNumberFormat="1"/>
    <xf numFmtId="166" fontId="0" fillId="2" borderId="0" xfId="1" applyNumberFormat="1" applyFont="1" applyFill="1"/>
    <xf numFmtId="166" fontId="0" fillId="2" borderId="0" xfId="0" applyNumberFormat="1" applyFill="1"/>
    <xf numFmtId="0" fontId="0" fillId="3" borderId="0" xfId="0" applyFill="1" applyAlignment="1">
      <alignment horizontal="center" vertical="center"/>
    </xf>
    <xf numFmtId="166" fontId="0" fillId="3" borderId="0" xfId="1" applyNumberFormat="1" applyFont="1" applyFill="1" applyAlignment="1">
      <alignment horizontal="center" vertical="center"/>
    </xf>
    <xf numFmtId="0" fontId="0" fillId="3" borderId="0" xfId="0" applyFill="1"/>
    <xf numFmtId="166" fontId="0" fillId="3" borderId="0" xfId="1" applyNumberFormat="1" applyFont="1" applyFill="1"/>
    <xf numFmtId="166" fontId="0" fillId="3" borderId="0" xfId="0" applyNumberFormat="1" applyFill="1"/>
    <xf numFmtId="0" fontId="0" fillId="0" borderId="0" xfId="0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5E06D-2A20-405C-AC06-0D47EE4EE11D}">
  <dimension ref="B2:S63"/>
  <sheetViews>
    <sheetView tabSelected="1" topLeftCell="A18" workbookViewId="0">
      <selection activeCell="T32" sqref="T32"/>
    </sheetView>
  </sheetViews>
  <sheetFormatPr baseColWidth="10" defaultRowHeight="15" x14ac:dyDescent="0.25"/>
  <cols>
    <col min="7" max="7" width="11.7109375" bestFit="1" customWidth="1"/>
    <col min="14" max="14" width="14.5703125" bestFit="1" customWidth="1"/>
    <col min="16" max="16" width="15.140625" bestFit="1" customWidth="1"/>
    <col min="18" max="18" width="17.140625" customWidth="1"/>
    <col min="20" max="20" width="24.85546875" customWidth="1"/>
  </cols>
  <sheetData>
    <row r="2" spans="2:18" x14ac:dyDescent="0.25">
      <c r="G2" s="3"/>
    </row>
    <row r="3" spans="2:18" x14ac:dyDescent="0.25">
      <c r="B3" s="3"/>
      <c r="C3" s="3"/>
      <c r="D3" s="3"/>
      <c r="E3" s="3"/>
      <c r="F3" s="3"/>
      <c r="G3" s="3"/>
    </row>
    <row r="4" spans="2:18" x14ac:dyDescent="0.25">
      <c r="B4" s="3"/>
      <c r="C4" s="3"/>
      <c r="D4" s="3"/>
      <c r="E4" s="3"/>
      <c r="F4" s="3"/>
      <c r="G4" s="3"/>
    </row>
    <row r="5" spans="2:18" x14ac:dyDescent="0.25">
      <c r="B5" s="3"/>
      <c r="C5" s="3"/>
      <c r="D5" s="3"/>
      <c r="E5" s="3"/>
      <c r="F5" s="3"/>
      <c r="G5" s="3"/>
    </row>
    <row r="6" spans="2:18" x14ac:dyDescent="0.25">
      <c r="B6" s="3"/>
      <c r="C6" s="3"/>
      <c r="D6" s="3"/>
      <c r="E6" s="3"/>
      <c r="F6" s="3"/>
      <c r="G6" s="3"/>
    </row>
    <row r="7" spans="2:18" x14ac:dyDescent="0.25">
      <c r="B7" s="3"/>
      <c r="C7" s="3"/>
      <c r="D7" s="3"/>
      <c r="E7" s="3"/>
      <c r="F7" s="3"/>
      <c r="G7" s="3"/>
    </row>
    <row r="8" spans="2:18" x14ac:dyDescent="0.25">
      <c r="B8" s="3"/>
      <c r="C8" s="3"/>
      <c r="D8" s="3"/>
      <c r="E8" s="3"/>
      <c r="F8" s="3"/>
      <c r="G8" s="3"/>
    </row>
    <row r="9" spans="2:18" x14ac:dyDescent="0.25">
      <c r="B9" s="3"/>
      <c r="C9" s="3"/>
      <c r="D9" s="3"/>
      <c r="E9" s="3"/>
      <c r="F9" s="3"/>
      <c r="G9" s="3"/>
    </row>
    <row r="10" spans="2:18" x14ac:dyDescent="0.25">
      <c r="B10" s="3"/>
      <c r="C10" s="3"/>
      <c r="D10" s="3"/>
      <c r="E10" s="3"/>
      <c r="F10" s="3"/>
      <c r="G10" s="3"/>
    </row>
    <row r="11" spans="2:18" x14ac:dyDescent="0.25">
      <c r="B11" s="3"/>
      <c r="C11" s="3"/>
      <c r="D11" s="2" t="s">
        <v>2</v>
      </c>
      <c r="E11" s="3"/>
      <c r="F11" s="2" t="s">
        <v>0</v>
      </c>
      <c r="G11" s="2" t="s">
        <v>5</v>
      </c>
      <c r="H11" s="2" t="s">
        <v>4</v>
      </c>
      <c r="I11" s="2" t="s">
        <v>8</v>
      </c>
      <c r="K11" s="2" t="s">
        <v>3</v>
      </c>
      <c r="L11" s="2" t="s">
        <v>7</v>
      </c>
      <c r="M11" s="2"/>
      <c r="N11" s="2" t="s">
        <v>1</v>
      </c>
      <c r="P11" s="2" t="s">
        <v>6</v>
      </c>
      <c r="R11" s="1" t="s">
        <v>9</v>
      </c>
    </row>
    <row r="12" spans="2:18" x14ac:dyDescent="0.25">
      <c r="B12" s="3"/>
      <c r="C12" s="3"/>
      <c r="D12" s="3">
        <v>14735917</v>
      </c>
      <c r="E12" s="3"/>
      <c r="F12" s="3"/>
      <c r="G12" s="3"/>
      <c r="H12" s="3"/>
      <c r="I12" s="3"/>
      <c r="K12" s="3"/>
      <c r="L12" s="3"/>
      <c r="M12" s="3"/>
      <c r="N12" s="3"/>
    </row>
    <row r="13" spans="2:18" x14ac:dyDescent="0.25">
      <c r="B13" s="3"/>
      <c r="C13" s="3"/>
      <c r="D13" s="3"/>
      <c r="E13" s="3"/>
      <c r="F13" s="3">
        <v>2</v>
      </c>
      <c r="G13" s="3">
        <f>LOG(D12,F13)</f>
        <v>23.812833504801631</v>
      </c>
      <c r="H13" s="3">
        <v>24</v>
      </c>
      <c r="I13" s="7">
        <f>H13*1000</f>
        <v>24000</v>
      </c>
      <c r="K13" s="3">
        <f>LOG(F13,2)</f>
        <v>1</v>
      </c>
      <c r="L13" s="3">
        <f>ROUND(K13,0)</f>
        <v>1</v>
      </c>
      <c r="M13" s="3"/>
      <c r="N13" s="7">
        <f>I13*L13</f>
        <v>24000</v>
      </c>
      <c r="P13" s="6">
        <f>F13^(H13+1)</f>
        <v>33554432</v>
      </c>
      <c r="R13" s="9">
        <f>P13-14735917</f>
        <v>18818515</v>
      </c>
    </row>
    <row r="14" spans="2:18" x14ac:dyDescent="0.25">
      <c r="B14" s="3"/>
      <c r="C14" s="3"/>
      <c r="D14" s="3"/>
      <c r="E14" s="3"/>
      <c r="F14" s="3">
        <v>3</v>
      </c>
      <c r="G14" s="3">
        <f>LOG(D12,F14)</f>
        <v>15.024225175022636</v>
      </c>
      <c r="H14" s="3">
        <f>ROUND(G14,0)</f>
        <v>15</v>
      </c>
      <c r="I14" s="7">
        <f t="shared" ref="I14:I62" si="0">H14*1000</f>
        <v>15000</v>
      </c>
      <c r="K14" s="3">
        <f>LOG(F14,2)</f>
        <v>1.5849625007211563</v>
      </c>
      <c r="L14" s="3">
        <f t="shared" ref="L14:L62" si="1">ROUND(K14,0)</f>
        <v>2</v>
      </c>
      <c r="M14" s="3"/>
      <c r="N14" s="7">
        <f>I14*L14</f>
        <v>30000</v>
      </c>
      <c r="P14" s="6">
        <f t="shared" ref="P14:P62" si="2">F14^(H14+1)</f>
        <v>43046721</v>
      </c>
      <c r="R14" s="9">
        <f>P14-14735917</f>
        <v>28310804</v>
      </c>
    </row>
    <row r="15" spans="2:18" x14ac:dyDescent="0.25">
      <c r="B15" s="3"/>
      <c r="C15" s="3"/>
      <c r="D15" s="3"/>
      <c r="E15" s="3"/>
      <c r="F15" s="3">
        <v>4</v>
      </c>
      <c r="G15" s="3">
        <f>LOG(14735917,F15)</f>
        <v>11.906416752400816</v>
      </c>
      <c r="H15" s="3">
        <f t="shared" ref="H15:H62" si="3">ROUND(G15,0)</f>
        <v>12</v>
      </c>
      <c r="I15" s="7">
        <f t="shared" si="0"/>
        <v>12000</v>
      </c>
      <c r="K15" s="3">
        <f>LOG(F15,2)</f>
        <v>2</v>
      </c>
      <c r="L15" s="3">
        <f t="shared" si="1"/>
        <v>2</v>
      </c>
      <c r="M15" s="3"/>
      <c r="N15" s="7">
        <f>I15*L15</f>
        <v>24000</v>
      </c>
      <c r="P15" s="6">
        <f t="shared" si="2"/>
        <v>67108864</v>
      </c>
      <c r="R15" s="9">
        <f>P15-14735917</f>
        <v>52372947</v>
      </c>
    </row>
    <row r="16" spans="2:18" x14ac:dyDescent="0.25">
      <c r="B16" s="3"/>
      <c r="C16" s="3"/>
      <c r="D16" s="3"/>
      <c r="E16" s="3"/>
      <c r="F16" s="3">
        <v>5</v>
      </c>
      <c r="G16" s="3">
        <f t="shared" ref="G16:G62" si="4">LOG(14735917,F16)</f>
        <v>10.25562917182274</v>
      </c>
      <c r="H16" s="3">
        <f t="shared" si="3"/>
        <v>10</v>
      </c>
      <c r="I16" s="7">
        <f t="shared" si="0"/>
        <v>10000</v>
      </c>
      <c r="K16" s="3">
        <f>LOG(F16,2)</f>
        <v>2.3219280948873622</v>
      </c>
      <c r="L16" s="3">
        <f t="shared" si="1"/>
        <v>2</v>
      </c>
      <c r="M16" s="3"/>
      <c r="N16" s="7">
        <f>I16*L16</f>
        <v>20000</v>
      </c>
      <c r="P16" s="6">
        <f t="shared" si="2"/>
        <v>48828125</v>
      </c>
      <c r="R16" s="9">
        <f>P16-14735917</f>
        <v>34092208</v>
      </c>
    </row>
    <row r="17" spans="2:19" x14ac:dyDescent="0.25">
      <c r="B17" s="3"/>
      <c r="C17" s="3"/>
      <c r="D17" s="3"/>
      <c r="E17" s="3"/>
      <c r="F17" s="3">
        <v>6</v>
      </c>
      <c r="G17" s="3">
        <f t="shared" si="4"/>
        <v>9.2120614895412576</v>
      </c>
      <c r="H17" s="3">
        <f t="shared" si="3"/>
        <v>9</v>
      </c>
      <c r="I17" s="7">
        <f t="shared" si="0"/>
        <v>9000</v>
      </c>
      <c r="K17" s="3">
        <f>LOG(F17,2)</f>
        <v>2.5849625007211561</v>
      </c>
      <c r="L17" s="3">
        <f t="shared" si="1"/>
        <v>3</v>
      </c>
      <c r="M17" s="3"/>
      <c r="N17" s="7">
        <f>I17*L17</f>
        <v>27000</v>
      </c>
      <c r="P17" s="6">
        <f t="shared" si="2"/>
        <v>60466176</v>
      </c>
      <c r="R17" s="9">
        <f>P17-14735917</f>
        <v>45730259</v>
      </c>
    </row>
    <row r="18" spans="2:19" x14ac:dyDescent="0.25">
      <c r="B18" s="3"/>
      <c r="C18" s="3"/>
      <c r="D18" s="3"/>
      <c r="E18" s="3"/>
      <c r="F18" s="3">
        <v>7</v>
      </c>
      <c r="G18" s="3">
        <f t="shared" si="4"/>
        <v>8.4823024398170528</v>
      </c>
      <c r="H18" s="3">
        <f t="shared" si="3"/>
        <v>8</v>
      </c>
      <c r="I18" s="7">
        <f t="shared" si="0"/>
        <v>8000</v>
      </c>
      <c r="K18" s="3">
        <f>LOG(F18,2)</f>
        <v>2.8073549220576042</v>
      </c>
      <c r="L18" s="3">
        <f t="shared" si="1"/>
        <v>3</v>
      </c>
      <c r="M18" s="3"/>
      <c r="N18" s="7">
        <f>I18*L18</f>
        <v>24000</v>
      </c>
      <c r="P18" s="6">
        <f t="shared" si="2"/>
        <v>40353607</v>
      </c>
      <c r="R18" s="9">
        <f>P18-14735917</f>
        <v>25617690</v>
      </c>
    </row>
    <row r="19" spans="2:19" x14ac:dyDescent="0.25">
      <c r="B19" s="3"/>
      <c r="C19" s="3"/>
      <c r="D19" s="3"/>
      <c r="E19" s="3"/>
      <c r="F19" s="3">
        <v>8</v>
      </c>
      <c r="G19" s="3">
        <f t="shared" si="4"/>
        <v>7.9376111682672104</v>
      </c>
      <c r="H19" s="3">
        <f t="shared" si="3"/>
        <v>8</v>
      </c>
      <c r="I19" s="7">
        <f t="shared" si="0"/>
        <v>8000</v>
      </c>
      <c r="K19" s="3">
        <f>LOG(F19,2)</f>
        <v>3</v>
      </c>
      <c r="L19" s="3">
        <f t="shared" si="1"/>
        <v>3</v>
      </c>
      <c r="M19" s="3"/>
      <c r="N19" s="7">
        <f>I19*L19</f>
        <v>24000</v>
      </c>
      <c r="P19" s="6">
        <f t="shared" si="2"/>
        <v>134217728</v>
      </c>
      <c r="R19" s="9">
        <f>P19-14735917</f>
        <v>119481811</v>
      </c>
    </row>
    <row r="20" spans="2:19" x14ac:dyDescent="0.25">
      <c r="B20" s="3"/>
      <c r="C20" s="3"/>
      <c r="D20" s="3"/>
      <c r="E20" s="3"/>
      <c r="F20" s="3">
        <v>9</v>
      </c>
      <c r="G20" s="3">
        <f t="shared" si="4"/>
        <v>7.5121125875113179</v>
      </c>
      <c r="H20" s="3">
        <f t="shared" si="3"/>
        <v>8</v>
      </c>
      <c r="I20" s="7">
        <f t="shared" si="0"/>
        <v>8000</v>
      </c>
      <c r="K20" s="3">
        <f>LOG(F20,2)</f>
        <v>3.1699250014423126</v>
      </c>
      <c r="L20" s="3">
        <f t="shared" si="1"/>
        <v>3</v>
      </c>
      <c r="M20" s="3"/>
      <c r="N20" s="7">
        <f>I20*L20</f>
        <v>24000</v>
      </c>
      <c r="P20" s="6">
        <f t="shared" si="2"/>
        <v>387420489</v>
      </c>
      <c r="R20" s="9">
        <f>P20-14735917</f>
        <v>372684572</v>
      </c>
    </row>
    <row r="21" spans="2:19" x14ac:dyDescent="0.25">
      <c r="B21" s="3"/>
      <c r="C21" s="3"/>
      <c r="D21" s="3"/>
      <c r="E21" s="3"/>
      <c r="F21" s="3">
        <v>10</v>
      </c>
      <c r="G21" s="3">
        <f t="shared" si="4"/>
        <v>7.1683771666975398</v>
      </c>
      <c r="H21" s="3">
        <f t="shared" si="3"/>
        <v>7</v>
      </c>
      <c r="I21" s="7">
        <f t="shared" si="0"/>
        <v>7000</v>
      </c>
      <c r="K21" s="3">
        <f>LOG(F21,2)</f>
        <v>3.3219280948873626</v>
      </c>
      <c r="L21" s="3">
        <f t="shared" si="1"/>
        <v>3</v>
      </c>
      <c r="M21" s="3"/>
      <c r="N21" s="7">
        <f>I21*L21</f>
        <v>21000</v>
      </c>
      <c r="P21" s="6">
        <f t="shared" si="2"/>
        <v>100000000</v>
      </c>
      <c r="R21" s="9">
        <f>P21-14735917</f>
        <v>85264083</v>
      </c>
    </row>
    <row r="22" spans="2:19" x14ac:dyDescent="0.25">
      <c r="B22" s="3"/>
      <c r="C22" s="3"/>
      <c r="D22" s="3"/>
      <c r="E22" s="3"/>
      <c r="F22" s="3">
        <v>11</v>
      </c>
      <c r="G22" s="3">
        <f t="shared" si="4"/>
        <v>6.8834525812022633</v>
      </c>
      <c r="H22" s="3">
        <f t="shared" si="3"/>
        <v>7</v>
      </c>
      <c r="I22" s="7">
        <f t="shared" si="0"/>
        <v>7000</v>
      </c>
      <c r="K22" s="3">
        <f>LOG(F22,2)</f>
        <v>3.4594316186372978</v>
      </c>
      <c r="L22" s="3">
        <f t="shared" si="1"/>
        <v>3</v>
      </c>
      <c r="M22" s="3"/>
      <c r="N22" s="7">
        <f>I22*L22</f>
        <v>21000</v>
      </c>
      <c r="P22" s="6">
        <f t="shared" si="2"/>
        <v>214358881</v>
      </c>
      <c r="R22" s="9">
        <f>P22-14735917</f>
        <v>199622964</v>
      </c>
    </row>
    <row r="23" spans="2:19" x14ac:dyDescent="0.25">
      <c r="B23" s="3"/>
      <c r="C23" s="3"/>
      <c r="D23" s="3"/>
      <c r="E23" s="3"/>
      <c r="F23" s="3">
        <v>12</v>
      </c>
      <c r="G23" s="3">
        <f t="shared" si="4"/>
        <v>6.6424219221292846</v>
      </c>
      <c r="H23" s="3">
        <f t="shared" si="3"/>
        <v>7</v>
      </c>
      <c r="I23" s="7">
        <f t="shared" si="0"/>
        <v>7000</v>
      </c>
      <c r="K23" s="3">
        <f>LOG(F23,2)</f>
        <v>3.5849625007211565</v>
      </c>
      <c r="L23" s="3">
        <f t="shared" si="1"/>
        <v>4</v>
      </c>
      <c r="M23" s="3"/>
      <c r="N23" s="7">
        <f>I23*L23</f>
        <v>28000</v>
      </c>
      <c r="P23" s="6">
        <f t="shared" si="2"/>
        <v>429981696</v>
      </c>
      <c r="R23" s="9">
        <f>P23-14735917</f>
        <v>415245779</v>
      </c>
    </row>
    <row r="24" spans="2:19" x14ac:dyDescent="0.25">
      <c r="B24" s="3"/>
      <c r="C24" s="3"/>
      <c r="D24" s="3"/>
      <c r="E24" s="3"/>
      <c r="F24" s="3">
        <v>13</v>
      </c>
      <c r="G24" s="3">
        <f t="shared" si="4"/>
        <v>6.4351361780226366</v>
      </c>
      <c r="H24" s="3">
        <f t="shared" si="3"/>
        <v>6</v>
      </c>
      <c r="I24" s="7">
        <f t="shared" si="0"/>
        <v>6000</v>
      </c>
      <c r="K24" s="3">
        <f>LOG(F24,2)</f>
        <v>3.7004397181410922</v>
      </c>
      <c r="L24" s="3">
        <f t="shared" si="1"/>
        <v>4</v>
      </c>
      <c r="M24" s="3"/>
      <c r="N24" s="7">
        <f>I24*L24</f>
        <v>24000</v>
      </c>
      <c r="P24" s="6">
        <f t="shared" si="2"/>
        <v>62748517</v>
      </c>
      <c r="R24" s="9">
        <f>P24-14735917</f>
        <v>48012600</v>
      </c>
    </row>
    <row r="25" spans="2:19" x14ac:dyDescent="0.25">
      <c r="B25" s="3"/>
      <c r="C25" s="3"/>
      <c r="D25" s="3"/>
      <c r="E25" s="3"/>
      <c r="F25" s="3">
        <v>14</v>
      </c>
      <c r="G25" s="3">
        <f t="shared" si="4"/>
        <v>6.254429647954252</v>
      </c>
      <c r="H25" s="3">
        <f t="shared" si="3"/>
        <v>6</v>
      </c>
      <c r="I25" s="7">
        <f t="shared" si="0"/>
        <v>6000</v>
      </c>
      <c r="K25" s="3">
        <f>LOG(F25,2)</f>
        <v>3.8073549220576037</v>
      </c>
      <c r="L25" s="3">
        <f t="shared" si="1"/>
        <v>4</v>
      </c>
      <c r="M25" s="3"/>
      <c r="N25" s="7">
        <f>I25*L25</f>
        <v>24000</v>
      </c>
      <c r="P25" s="6">
        <f t="shared" si="2"/>
        <v>105413504</v>
      </c>
      <c r="R25" s="9">
        <f>P25-14735917</f>
        <v>90677587</v>
      </c>
    </row>
    <row r="26" spans="2:19" x14ac:dyDescent="0.25">
      <c r="B26" s="3"/>
      <c r="C26" s="3"/>
      <c r="D26" s="3"/>
      <c r="E26" s="3"/>
      <c r="F26" s="3">
        <v>15</v>
      </c>
      <c r="G26" s="3">
        <f t="shared" si="4"/>
        <v>6.0950858290140211</v>
      </c>
      <c r="H26" s="3">
        <f t="shared" si="3"/>
        <v>6</v>
      </c>
      <c r="I26" s="7">
        <f t="shared" si="0"/>
        <v>6000</v>
      </c>
      <c r="K26" s="3">
        <f>LOG(F26,2)</f>
        <v>3.9068905956085187</v>
      </c>
      <c r="L26" s="3">
        <f t="shared" si="1"/>
        <v>4</v>
      </c>
      <c r="M26" s="3"/>
      <c r="N26" s="7">
        <f>I26*L26</f>
        <v>24000</v>
      </c>
      <c r="P26" s="6">
        <f t="shared" si="2"/>
        <v>170859375</v>
      </c>
      <c r="R26" s="9">
        <f>P26-14735917</f>
        <v>156123458</v>
      </c>
    </row>
    <row r="27" spans="2:19" x14ac:dyDescent="0.25">
      <c r="B27" s="3"/>
      <c r="C27" s="3"/>
      <c r="D27" s="3"/>
      <c r="E27" s="3"/>
      <c r="F27" s="3">
        <v>16</v>
      </c>
      <c r="G27" s="3">
        <f t="shared" si="4"/>
        <v>5.9532083762004078</v>
      </c>
      <c r="H27" s="3">
        <f t="shared" si="3"/>
        <v>6</v>
      </c>
      <c r="I27" s="7">
        <f t="shared" si="0"/>
        <v>6000</v>
      </c>
      <c r="K27" s="3">
        <f>LOG(F27,2)</f>
        <v>4</v>
      </c>
      <c r="L27" s="3">
        <f t="shared" si="1"/>
        <v>4</v>
      </c>
      <c r="M27" s="3"/>
      <c r="N27" s="7">
        <f>I27*L27</f>
        <v>24000</v>
      </c>
      <c r="P27" s="6">
        <f t="shared" si="2"/>
        <v>268435456</v>
      </c>
      <c r="R27" s="9">
        <f>P27-14735917</f>
        <v>253699539</v>
      </c>
    </row>
    <row r="28" spans="2:19" x14ac:dyDescent="0.25">
      <c r="B28" s="3"/>
      <c r="C28" s="3"/>
      <c r="D28" s="3"/>
      <c r="E28" s="3"/>
      <c r="F28" s="3">
        <v>17</v>
      </c>
      <c r="G28" s="3">
        <f t="shared" si="4"/>
        <v>5.8258226263207744</v>
      </c>
      <c r="H28" s="3">
        <f t="shared" si="3"/>
        <v>6</v>
      </c>
      <c r="I28" s="7">
        <f t="shared" si="0"/>
        <v>6000</v>
      </c>
      <c r="K28" s="3">
        <f>LOG(F28,2)</f>
        <v>4.08746284125034</v>
      </c>
      <c r="L28" s="3">
        <f t="shared" si="1"/>
        <v>4</v>
      </c>
      <c r="M28" s="3"/>
      <c r="N28" s="7">
        <f>I28*L28</f>
        <v>24000</v>
      </c>
      <c r="P28" s="6">
        <f t="shared" si="2"/>
        <v>410338673</v>
      </c>
      <c r="R28" s="9">
        <f>P28-14735917</f>
        <v>395602756</v>
      </c>
    </row>
    <row r="29" spans="2:19" x14ac:dyDescent="0.25">
      <c r="B29" s="3"/>
      <c r="C29" s="3"/>
      <c r="D29" s="3"/>
      <c r="E29" s="3"/>
      <c r="F29" s="3">
        <v>18</v>
      </c>
      <c r="G29" s="3">
        <f t="shared" si="4"/>
        <v>5.7106143387627215</v>
      </c>
      <c r="H29" s="3">
        <f t="shared" si="3"/>
        <v>6</v>
      </c>
      <c r="I29" s="7">
        <f t="shared" si="0"/>
        <v>6000</v>
      </c>
      <c r="K29" s="3">
        <f>LOG(F29,2)</f>
        <v>4.1699250014423122</v>
      </c>
      <c r="L29" s="3">
        <f t="shared" si="1"/>
        <v>4</v>
      </c>
      <c r="M29" s="3"/>
      <c r="N29" s="7">
        <f>I29*L29</f>
        <v>24000</v>
      </c>
      <c r="P29" s="6">
        <f t="shared" si="2"/>
        <v>612220032</v>
      </c>
      <c r="R29" s="9">
        <f>P29-14735917</f>
        <v>597484115</v>
      </c>
    </row>
    <row r="30" spans="2:19" x14ac:dyDescent="0.25">
      <c r="F30" s="3">
        <v>19</v>
      </c>
      <c r="G30" s="3">
        <f t="shared" si="4"/>
        <v>5.6057532595460273</v>
      </c>
      <c r="H30" s="3">
        <f t="shared" si="3"/>
        <v>6</v>
      </c>
      <c r="I30" s="7">
        <f t="shared" si="0"/>
        <v>6000</v>
      </c>
      <c r="K30" s="3">
        <f>LOG(F30,2)</f>
        <v>4.2479275134435852</v>
      </c>
      <c r="L30" s="3">
        <f t="shared" si="1"/>
        <v>4</v>
      </c>
      <c r="M30" s="3"/>
      <c r="N30" s="7">
        <f>I30*L30</f>
        <v>24000</v>
      </c>
      <c r="P30" s="6">
        <f t="shared" si="2"/>
        <v>893871739</v>
      </c>
      <c r="R30" s="9">
        <f>P30-14735917</f>
        <v>879135822</v>
      </c>
    </row>
    <row r="31" spans="2:19" x14ac:dyDescent="0.25">
      <c r="F31" s="3">
        <v>20</v>
      </c>
      <c r="G31" s="3">
        <f t="shared" si="4"/>
        <v>5.5097708666118468</v>
      </c>
      <c r="H31" s="3">
        <f t="shared" si="3"/>
        <v>6</v>
      </c>
      <c r="I31" s="7">
        <f t="shared" si="0"/>
        <v>6000</v>
      </c>
      <c r="K31" s="3">
        <f>LOG(F31,2)</f>
        <v>4.3219280948873626</v>
      </c>
      <c r="L31" s="3">
        <f t="shared" si="1"/>
        <v>4</v>
      </c>
      <c r="M31" s="3"/>
      <c r="N31" s="7">
        <f>I31*L31</f>
        <v>24000</v>
      </c>
      <c r="P31" s="6">
        <f t="shared" si="2"/>
        <v>1280000000</v>
      </c>
      <c r="R31" s="9">
        <f>P31-14735917</f>
        <v>1265264083</v>
      </c>
    </row>
    <row r="32" spans="2:19" x14ac:dyDescent="0.25">
      <c r="F32" s="12">
        <v>21</v>
      </c>
      <c r="G32" s="12">
        <f t="shared" si="4"/>
        <v>5.4214737262173216</v>
      </c>
      <c r="H32" s="12">
        <f t="shared" si="3"/>
        <v>5</v>
      </c>
      <c r="I32" s="13">
        <f t="shared" si="0"/>
        <v>5000</v>
      </c>
      <c r="J32" s="14"/>
      <c r="K32" s="12">
        <f>LOG(F32,2)</f>
        <v>4.3923174227787607</v>
      </c>
      <c r="L32" s="12">
        <f t="shared" si="1"/>
        <v>4</v>
      </c>
      <c r="M32" s="12"/>
      <c r="N32" s="13">
        <f>I32*L32</f>
        <v>20000</v>
      </c>
      <c r="O32" s="14"/>
      <c r="P32" s="15">
        <f t="shared" si="2"/>
        <v>85766121</v>
      </c>
      <c r="Q32" s="14"/>
      <c r="R32" s="16">
        <f>P32-14735917</f>
        <v>71030204</v>
      </c>
      <c r="S32" s="17"/>
    </row>
    <row r="33" spans="6:18" x14ac:dyDescent="0.25">
      <c r="F33" s="4">
        <v>22</v>
      </c>
      <c r="G33" s="4">
        <f t="shared" si="4"/>
        <v>5.3398808505731266</v>
      </c>
      <c r="H33" s="4">
        <f t="shared" si="3"/>
        <v>5</v>
      </c>
      <c r="I33" s="8">
        <f t="shared" si="0"/>
        <v>5000</v>
      </c>
      <c r="J33" s="5"/>
      <c r="K33" s="4">
        <f>LOG(F33,2)</f>
        <v>4.4594316186372973</v>
      </c>
      <c r="L33" s="4">
        <f t="shared" si="1"/>
        <v>4</v>
      </c>
      <c r="M33" s="4"/>
      <c r="N33" s="8">
        <f>I33*L33</f>
        <v>20000</v>
      </c>
      <c r="O33" s="5"/>
      <c r="P33" s="10">
        <f t="shared" si="2"/>
        <v>113379904</v>
      </c>
      <c r="Q33" s="5"/>
      <c r="R33" s="11">
        <f>P33-14735917</f>
        <v>98643987</v>
      </c>
    </row>
    <row r="34" spans="6:18" x14ac:dyDescent="0.25">
      <c r="F34" s="3">
        <v>23</v>
      </c>
      <c r="G34" s="3">
        <f t="shared" si="4"/>
        <v>5.2641775963555526</v>
      </c>
      <c r="H34" s="3">
        <f t="shared" si="3"/>
        <v>5</v>
      </c>
      <c r="I34" s="7">
        <f t="shared" si="0"/>
        <v>5000</v>
      </c>
      <c r="K34" s="3">
        <f>LOG(F34,2)</f>
        <v>4.5235619560570131</v>
      </c>
      <c r="L34" s="3">
        <f t="shared" si="1"/>
        <v>5</v>
      </c>
      <c r="M34" s="3"/>
      <c r="N34" s="7">
        <f>I34*L34</f>
        <v>25000</v>
      </c>
      <c r="P34" s="6">
        <f t="shared" si="2"/>
        <v>148035889</v>
      </c>
      <c r="R34" s="9">
        <f>P34-14735917</f>
        <v>133299972</v>
      </c>
    </row>
    <row r="35" spans="6:18" x14ac:dyDescent="0.25">
      <c r="F35" s="3">
        <v>24</v>
      </c>
      <c r="G35" s="3">
        <f t="shared" si="4"/>
        <v>5.193681191734103</v>
      </c>
      <c r="H35" s="3">
        <f t="shared" si="3"/>
        <v>5</v>
      </c>
      <c r="I35" s="7">
        <f t="shared" si="0"/>
        <v>5000</v>
      </c>
      <c r="K35" s="3">
        <f>LOG(F35,2)</f>
        <v>4.584962500721157</v>
      </c>
      <c r="L35" s="3">
        <f t="shared" si="1"/>
        <v>5</v>
      </c>
      <c r="M35" s="3"/>
      <c r="N35" s="7">
        <f>I35*L35</f>
        <v>25000</v>
      </c>
      <c r="P35" s="6">
        <f t="shared" si="2"/>
        <v>191102976</v>
      </c>
      <c r="R35" s="9">
        <f>P35-14735917</f>
        <v>176367059</v>
      </c>
    </row>
    <row r="36" spans="6:18" x14ac:dyDescent="0.25">
      <c r="F36" s="3">
        <v>25</v>
      </c>
      <c r="G36" s="3">
        <f t="shared" si="4"/>
        <v>5.12781458591137</v>
      </c>
      <c r="H36" s="3">
        <f t="shared" si="3"/>
        <v>5</v>
      </c>
      <c r="I36" s="7">
        <f t="shared" si="0"/>
        <v>5000</v>
      </c>
      <c r="K36" s="3">
        <f>LOG(F36,2)</f>
        <v>4.6438561897747244</v>
      </c>
      <c r="L36" s="3">
        <f t="shared" si="1"/>
        <v>5</v>
      </c>
      <c r="M36" s="3"/>
      <c r="N36" s="7">
        <f>I36*L36</f>
        <v>25000</v>
      </c>
      <c r="P36" s="6">
        <f t="shared" si="2"/>
        <v>244140625</v>
      </c>
      <c r="R36" s="9">
        <f>P36-14735917</f>
        <v>229404708</v>
      </c>
    </row>
    <row r="37" spans="6:18" x14ac:dyDescent="0.25">
      <c r="F37" s="3">
        <v>26</v>
      </c>
      <c r="G37" s="3">
        <f t="shared" si="4"/>
        <v>5.0660863520698474</v>
      </c>
      <c r="H37" s="3">
        <f t="shared" si="3"/>
        <v>5</v>
      </c>
      <c r="I37" s="7">
        <f t="shared" si="0"/>
        <v>5000</v>
      </c>
      <c r="K37" s="3">
        <f>LOG(F37,2)</f>
        <v>4.7004397181410926</v>
      </c>
      <c r="L37" s="3">
        <f t="shared" si="1"/>
        <v>5</v>
      </c>
      <c r="M37" s="3"/>
      <c r="N37" s="7">
        <f>I37*L37</f>
        <v>25000</v>
      </c>
      <c r="P37" s="6">
        <f t="shared" si="2"/>
        <v>308915776</v>
      </c>
      <c r="R37" s="9">
        <f>P37-14735917</f>
        <v>294179859</v>
      </c>
    </row>
    <row r="38" spans="6:18" x14ac:dyDescent="0.25">
      <c r="F38" s="3">
        <v>27</v>
      </c>
      <c r="G38" s="3">
        <f t="shared" si="4"/>
        <v>5.0080750583408786</v>
      </c>
      <c r="H38" s="3">
        <f t="shared" si="3"/>
        <v>5</v>
      </c>
      <c r="I38" s="7">
        <f t="shared" si="0"/>
        <v>5000</v>
      </c>
      <c r="K38" s="3">
        <f>LOG(F38,2)</f>
        <v>4.7548875021634691</v>
      </c>
      <c r="L38" s="3">
        <f t="shared" si="1"/>
        <v>5</v>
      </c>
      <c r="M38" s="3"/>
      <c r="N38" s="7">
        <f>I38*L38</f>
        <v>25000</v>
      </c>
      <c r="P38" s="6">
        <f t="shared" si="2"/>
        <v>387420489</v>
      </c>
      <c r="R38" s="9">
        <f>P38-14735917</f>
        <v>372684572</v>
      </c>
    </row>
    <row r="39" spans="6:18" x14ac:dyDescent="0.25">
      <c r="F39" s="3">
        <v>28</v>
      </c>
      <c r="G39" s="3">
        <f t="shared" si="4"/>
        <v>4.9534169810390161</v>
      </c>
      <c r="H39" s="3">
        <f t="shared" si="3"/>
        <v>5</v>
      </c>
      <c r="I39" s="7">
        <f t="shared" si="0"/>
        <v>5000</v>
      </c>
      <c r="K39" s="3">
        <f>LOG(F39,2)</f>
        <v>4.8073549220576037</v>
      </c>
      <c r="L39" s="3">
        <f t="shared" si="1"/>
        <v>5</v>
      </c>
      <c r="M39" s="3"/>
      <c r="N39" s="7">
        <f>I39*L39</f>
        <v>25000</v>
      </c>
      <c r="P39" s="6">
        <f t="shared" si="2"/>
        <v>481890304</v>
      </c>
      <c r="R39" s="9">
        <f>P39-14735917</f>
        <v>467154387</v>
      </c>
    </row>
    <row r="40" spans="6:18" x14ac:dyDescent="0.25">
      <c r="F40" s="3">
        <v>29</v>
      </c>
      <c r="G40" s="3">
        <f t="shared" si="4"/>
        <v>4.9017963488711214</v>
      </c>
      <c r="H40" s="3">
        <f t="shared" si="3"/>
        <v>5</v>
      </c>
      <c r="I40" s="7">
        <f t="shared" si="0"/>
        <v>5000</v>
      </c>
      <c r="K40" s="3">
        <f>LOG(F40,2)</f>
        <v>4.8579809951275728</v>
      </c>
      <c r="L40" s="3">
        <f t="shared" si="1"/>
        <v>5</v>
      </c>
      <c r="M40" s="3"/>
      <c r="N40" s="7">
        <f>I40*L40</f>
        <v>25000</v>
      </c>
      <c r="P40" s="6">
        <f t="shared" si="2"/>
        <v>594823321</v>
      </c>
      <c r="R40" s="9">
        <f>P40-14735917</f>
        <v>580087404</v>
      </c>
    </row>
    <row r="41" spans="6:18" x14ac:dyDescent="0.25">
      <c r="F41" s="3">
        <v>30</v>
      </c>
      <c r="G41" s="3">
        <f t="shared" si="4"/>
        <v>4.8529375254694314</v>
      </c>
      <c r="H41" s="3">
        <f t="shared" si="3"/>
        <v>5</v>
      </c>
      <c r="I41" s="7">
        <f t="shared" si="0"/>
        <v>5000</v>
      </c>
      <c r="K41" s="3">
        <f>LOG(F41,2)</f>
        <v>4.9068905956085187</v>
      </c>
      <c r="L41" s="3">
        <f t="shared" si="1"/>
        <v>5</v>
      </c>
      <c r="M41" s="3"/>
      <c r="N41" s="7">
        <f>I41*L41</f>
        <v>25000</v>
      </c>
      <c r="P41" s="6">
        <f t="shared" si="2"/>
        <v>729000000</v>
      </c>
      <c r="R41" s="9">
        <f>P41-14735917</f>
        <v>714264083</v>
      </c>
    </row>
    <row r="42" spans="6:18" x14ac:dyDescent="0.25">
      <c r="F42" s="3">
        <v>31</v>
      </c>
      <c r="G42" s="3">
        <f t="shared" si="4"/>
        <v>4.8065986918758323</v>
      </c>
      <c r="H42" s="3">
        <f t="shared" si="3"/>
        <v>5</v>
      </c>
      <c r="I42" s="7">
        <f t="shared" si="0"/>
        <v>5000</v>
      </c>
      <c r="K42" s="3">
        <f>LOG(F42,2)</f>
        <v>4.9541963103868758</v>
      </c>
      <c r="L42" s="3">
        <f t="shared" si="1"/>
        <v>5</v>
      </c>
      <c r="M42" s="3"/>
      <c r="N42" s="7">
        <f>I42*L42</f>
        <v>25000</v>
      </c>
      <c r="P42" s="6">
        <f t="shared" si="2"/>
        <v>887503681</v>
      </c>
      <c r="R42" s="9">
        <f>P42-14735917</f>
        <v>872767764</v>
      </c>
    </row>
    <row r="43" spans="6:18" x14ac:dyDescent="0.25">
      <c r="F43" s="3">
        <v>32</v>
      </c>
      <c r="G43" s="3">
        <f t="shared" si="4"/>
        <v>4.7625667009603259</v>
      </c>
      <c r="H43" s="3">
        <f t="shared" si="3"/>
        <v>5</v>
      </c>
      <c r="I43" s="7">
        <f t="shared" si="0"/>
        <v>5000</v>
      </c>
      <c r="K43" s="3">
        <f>LOG(F43,2)</f>
        <v>5</v>
      </c>
      <c r="L43" s="3">
        <f t="shared" si="1"/>
        <v>5</v>
      </c>
      <c r="M43" s="3"/>
      <c r="N43" s="7">
        <f>I43*L43</f>
        <v>25000</v>
      </c>
      <c r="P43" s="6">
        <f t="shared" si="2"/>
        <v>1073741824</v>
      </c>
      <c r="R43" s="9">
        <f>P43-14735917</f>
        <v>1059005907</v>
      </c>
    </row>
    <row r="44" spans="6:18" x14ac:dyDescent="0.25">
      <c r="F44" s="3">
        <v>33</v>
      </c>
      <c r="G44" s="3">
        <f t="shared" si="4"/>
        <v>4.7206528556952145</v>
      </c>
      <c r="H44" s="3">
        <f t="shared" si="3"/>
        <v>5</v>
      </c>
      <c r="I44" s="7">
        <f t="shared" si="0"/>
        <v>5000</v>
      </c>
      <c r="K44" s="3">
        <f>LOG(F44,2)</f>
        <v>5.0443941193584534</v>
      </c>
      <c r="L44" s="3">
        <f t="shared" si="1"/>
        <v>5</v>
      </c>
      <c r="M44" s="3"/>
      <c r="N44" s="7">
        <f>I44*L44</f>
        <v>25000</v>
      </c>
      <c r="P44" s="6">
        <f t="shared" si="2"/>
        <v>1291467969</v>
      </c>
      <c r="R44" s="9">
        <f>P44-14735917</f>
        <v>1276732052</v>
      </c>
    </row>
    <row r="45" spans="6:18" x14ac:dyDescent="0.25">
      <c r="F45" s="3">
        <v>34</v>
      </c>
      <c r="G45" s="3">
        <f t="shared" si="4"/>
        <v>4.6806894217922537</v>
      </c>
      <c r="H45" s="3">
        <f t="shared" si="3"/>
        <v>5</v>
      </c>
      <c r="I45" s="7">
        <f t="shared" si="0"/>
        <v>5000</v>
      </c>
      <c r="K45" s="3">
        <f>LOG(F45,2)</f>
        <v>5.08746284125034</v>
      </c>
      <c r="L45" s="3">
        <f t="shared" si="1"/>
        <v>5</v>
      </c>
      <c r="M45" s="3"/>
      <c r="N45" s="7">
        <f>I45*L45</f>
        <v>25000</v>
      </c>
      <c r="P45" s="6">
        <f t="shared" si="2"/>
        <v>1544804416</v>
      </c>
      <c r="R45" s="9">
        <f>P45-14735917</f>
        <v>1530068499</v>
      </c>
    </row>
    <row r="46" spans="6:18" x14ac:dyDescent="0.25">
      <c r="F46" s="3">
        <v>35</v>
      </c>
      <c r="G46" s="3">
        <f t="shared" si="4"/>
        <v>4.6425267286157093</v>
      </c>
      <c r="H46" s="3">
        <f t="shared" si="3"/>
        <v>5</v>
      </c>
      <c r="I46" s="7">
        <f t="shared" si="0"/>
        <v>5000</v>
      </c>
      <c r="K46" s="3">
        <f>LOG(F46,2)</f>
        <v>5.1292830169449664</v>
      </c>
      <c r="L46" s="3">
        <f t="shared" si="1"/>
        <v>5</v>
      </c>
      <c r="M46" s="3"/>
      <c r="N46" s="7">
        <f>I46*L46</f>
        <v>25000</v>
      </c>
      <c r="P46" s="6">
        <f t="shared" si="2"/>
        <v>1838265625</v>
      </c>
      <c r="R46" s="9">
        <f>P46-14735917</f>
        <v>1823529708</v>
      </c>
    </row>
    <row r="47" spans="6:18" x14ac:dyDescent="0.25">
      <c r="F47" s="3">
        <v>36</v>
      </c>
      <c r="G47" s="3">
        <f t="shared" si="4"/>
        <v>4.6060307447706288</v>
      </c>
      <c r="H47" s="3">
        <f t="shared" si="3"/>
        <v>5</v>
      </c>
      <c r="I47" s="7">
        <f t="shared" si="0"/>
        <v>5000</v>
      </c>
      <c r="K47" s="3">
        <f>LOG(F47,2)</f>
        <v>5.1699250014423122</v>
      </c>
      <c r="L47" s="3">
        <f t="shared" si="1"/>
        <v>5</v>
      </c>
      <c r="M47" s="3"/>
      <c r="N47" s="7">
        <f>I47*L47</f>
        <v>25000</v>
      </c>
      <c r="P47" s="6">
        <f t="shared" si="2"/>
        <v>2176782336</v>
      </c>
      <c r="R47" s="9">
        <f>P47-14735917</f>
        <v>2162046419</v>
      </c>
    </row>
    <row r="48" spans="6:18" x14ac:dyDescent="0.25">
      <c r="F48" s="3">
        <v>37</v>
      </c>
      <c r="G48" s="3">
        <f t="shared" si="4"/>
        <v>4.5710810393110508</v>
      </c>
      <c r="H48" s="3">
        <f t="shared" si="3"/>
        <v>5</v>
      </c>
      <c r="I48" s="7">
        <f t="shared" si="0"/>
        <v>5000</v>
      </c>
      <c r="K48" s="3">
        <f>LOG(F48,2)</f>
        <v>5.2094533656289501</v>
      </c>
      <c r="L48" s="3">
        <f t="shared" si="1"/>
        <v>5</v>
      </c>
      <c r="M48" s="3"/>
      <c r="N48" s="7">
        <f>I48*L48</f>
        <v>25000</v>
      </c>
      <c r="P48" s="6">
        <f t="shared" si="2"/>
        <v>2565726409</v>
      </c>
      <c r="R48" s="9">
        <f>P48-14735917</f>
        <v>2550990492</v>
      </c>
    </row>
    <row r="49" spans="6:18" x14ac:dyDescent="0.25">
      <c r="F49" s="3">
        <v>38</v>
      </c>
      <c r="G49" s="3">
        <f t="shared" si="4"/>
        <v>4.5375690582235428</v>
      </c>
      <c r="H49" s="3">
        <f t="shared" si="3"/>
        <v>5</v>
      </c>
      <c r="I49" s="7">
        <f t="shared" si="0"/>
        <v>5000</v>
      </c>
      <c r="K49" s="3">
        <f>LOG(F49,2)</f>
        <v>5.2479275134435852</v>
      </c>
      <c r="L49" s="3">
        <f t="shared" si="1"/>
        <v>5</v>
      </c>
      <c r="M49" s="3"/>
      <c r="N49" s="7">
        <f>I49*L49</f>
        <v>25000</v>
      </c>
      <c r="P49" s="6">
        <f t="shared" si="2"/>
        <v>3010936384</v>
      </c>
      <c r="R49" s="9">
        <f>P49-14735917</f>
        <v>2996200467</v>
      </c>
    </row>
    <row r="50" spans="6:18" x14ac:dyDescent="0.25">
      <c r="F50" s="3">
        <v>39</v>
      </c>
      <c r="G50" s="3">
        <f t="shared" si="4"/>
        <v>4.5053966602238367</v>
      </c>
      <c r="H50" s="3">
        <f t="shared" si="3"/>
        <v>5</v>
      </c>
      <c r="I50" s="7">
        <f t="shared" si="0"/>
        <v>5000</v>
      </c>
      <c r="K50" s="3">
        <f>LOG(F50,2)</f>
        <v>5.2854022188622487</v>
      </c>
      <c r="L50" s="3">
        <f t="shared" si="1"/>
        <v>5</v>
      </c>
      <c r="M50" s="3"/>
      <c r="N50" s="7">
        <f>I50*L50</f>
        <v>25000</v>
      </c>
      <c r="P50" s="6">
        <f t="shared" si="2"/>
        <v>3518743761</v>
      </c>
      <c r="R50" s="9">
        <f>P50-14735917</f>
        <v>3504007844</v>
      </c>
    </row>
    <row r="51" spans="6:18" x14ac:dyDescent="0.25">
      <c r="F51" s="4">
        <v>40</v>
      </c>
      <c r="G51" s="4">
        <f t="shared" si="4"/>
        <v>4.4744748670463999</v>
      </c>
      <c r="H51" s="4">
        <f t="shared" si="3"/>
        <v>4</v>
      </c>
      <c r="I51" s="8">
        <f t="shared" si="0"/>
        <v>4000</v>
      </c>
      <c r="J51" s="5"/>
      <c r="K51" s="4">
        <f>LOG(F51,2)</f>
        <v>5.3219280948873626</v>
      </c>
      <c r="L51" s="4">
        <f t="shared" si="1"/>
        <v>5</v>
      </c>
      <c r="M51" s="4"/>
      <c r="N51" s="8">
        <f>I51*L51</f>
        <v>20000</v>
      </c>
      <c r="O51" s="5"/>
      <c r="P51" s="10">
        <f t="shared" si="2"/>
        <v>102400000</v>
      </c>
      <c r="Q51" s="5"/>
      <c r="R51" s="11">
        <f>P51-14735917</f>
        <v>87664083</v>
      </c>
    </row>
    <row r="52" spans="6:18" x14ac:dyDescent="0.25">
      <c r="F52" s="4">
        <v>41</v>
      </c>
      <c r="G52" s="4">
        <f t="shared" si="4"/>
        <v>4.4447227921027226</v>
      </c>
      <c r="H52" s="4">
        <f t="shared" si="3"/>
        <v>4</v>
      </c>
      <c r="I52" s="8">
        <f t="shared" si="0"/>
        <v>4000</v>
      </c>
      <c r="J52" s="5"/>
      <c r="K52" s="4">
        <f>LOG(F52,2)</f>
        <v>5.3575520046180838</v>
      </c>
      <c r="L52" s="4">
        <f t="shared" si="1"/>
        <v>5</v>
      </c>
      <c r="M52" s="4"/>
      <c r="N52" s="8">
        <f>I52*L52</f>
        <v>20000</v>
      </c>
      <c r="O52" s="5"/>
      <c r="P52" s="10">
        <f t="shared" si="2"/>
        <v>115856201</v>
      </c>
      <c r="Q52" s="5"/>
      <c r="R52" s="11">
        <f>P52-14735917</f>
        <v>101120284</v>
      </c>
    </row>
    <row r="53" spans="6:18" x14ac:dyDescent="0.25">
      <c r="F53" s="4">
        <v>42</v>
      </c>
      <c r="G53" s="4">
        <f t="shared" si="4"/>
        <v>4.4160667182182385</v>
      </c>
      <c r="H53" s="4">
        <f t="shared" si="3"/>
        <v>4</v>
      </c>
      <c r="I53" s="8">
        <f t="shared" si="0"/>
        <v>4000</v>
      </c>
      <c r="J53" s="5"/>
      <c r="K53" s="4">
        <f>LOG(F53,2)</f>
        <v>5.3923174227787607</v>
      </c>
      <c r="L53" s="4">
        <f t="shared" si="1"/>
        <v>5</v>
      </c>
      <c r="M53" s="4"/>
      <c r="N53" s="8">
        <f>I53*L53</f>
        <v>20000</v>
      </c>
      <c r="O53" s="5"/>
      <c r="P53" s="10">
        <f t="shared" si="2"/>
        <v>130691232</v>
      </c>
      <c r="Q53" s="5"/>
      <c r="R53" s="11">
        <f>P53-14735917</f>
        <v>115955315</v>
      </c>
    </row>
    <row r="54" spans="6:18" x14ac:dyDescent="0.25">
      <c r="F54" s="4">
        <v>43</v>
      </c>
      <c r="G54" s="4">
        <f t="shared" si="4"/>
        <v>4.3884393005643076</v>
      </c>
      <c r="H54" s="4">
        <f t="shared" si="3"/>
        <v>4</v>
      </c>
      <c r="I54" s="8">
        <f t="shared" si="0"/>
        <v>4000</v>
      </c>
      <c r="J54" s="5"/>
      <c r="K54" s="4">
        <f>LOG(F54,2)</f>
        <v>5.4262647547020979</v>
      </c>
      <c r="L54" s="4">
        <f t="shared" si="1"/>
        <v>5</v>
      </c>
      <c r="M54" s="4"/>
      <c r="N54" s="8">
        <f>I54*L54</f>
        <v>20000</v>
      </c>
      <c r="O54" s="5"/>
      <c r="P54" s="10">
        <f t="shared" si="2"/>
        <v>147008443</v>
      </c>
      <c r="Q54" s="5"/>
      <c r="R54" s="11">
        <f>P54-14735917</f>
        <v>132272526</v>
      </c>
    </row>
    <row r="55" spans="6:18" x14ac:dyDescent="0.25">
      <c r="F55" s="4">
        <v>44</v>
      </c>
      <c r="G55" s="4">
        <f t="shared" si="4"/>
        <v>4.3617788752055908</v>
      </c>
      <c r="H55" s="4">
        <f t="shared" si="3"/>
        <v>4</v>
      </c>
      <c r="I55" s="8">
        <f t="shared" si="0"/>
        <v>4000</v>
      </c>
      <c r="J55" s="5"/>
      <c r="K55" s="4">
        <f>LOG(F55,2)</f>
        <v>5.4594316186372973</v>
      </c>
      <c r="L55" s="4">
        <f t="shared" si="1"/>
        <v>5</v>
      </c>
      <c r="M55" s="4"/>
      <c r="N55" s="8">
        <f>I55*L55</f>
        <v>20000</v>
      </c>
      <c r="O55" s="5"/>
      <c r="P55" s="10">
        <f t="shared" si="2"/>
        <v>164916224</v>
      </c>
      <c r="Q55" s="5"/>
      <c r="R55" s="11">
        <f>P55-14735917</f>
        <v>150180307</v>
      </c>
    </row>
    <row r="56" spans="6:18" x14ac:dyDescent="0.25">
      <c r="F56" s="4">
        <v>45</v>
      </c>
      <c r="G56" s="4">
        <f t="shared" si="4"/>
        <v>4.3360288571295298</v>
      </c>
      <c r="H56" s="4">
        <f t="shared" si="3"/>
        <v>4</v>
      </c>
      <c r="I56" s="8">
        <f t="shared" si="0"/>
        <v>4000</v>
      </c>
      <c r="J56" s="5"/>
      <c r="K56" s="4">
        <f>LOG(F56,2)</f>
        <v>5.4918530963296748</v>
      </c>
      <c r="L56" s="4">
        <f t="shared" si="1"/>
        <v>5</v>
      </c>
      <c r="M56" s="4"/>
      <c r="N56" s="8">
        <f>I56*L56</f>
        <v>20000</v>
      </c>
      <c r="O56" s="5"/>
      <c r="P56" s="10">
        <f t="shared" si="2"/>
        <v>184528125</v>
      </c>
      <c r="Q56" s="5"/>
      <c r="R56" s="11">
        <f>P56-14735917</f>
        <v>169792208</v>
      </c>
    </row>
    <row r="57" spans="6:18" x14ac:dyDescent="0.25">
      <c r="F57" s="3">
        <v>46</v>
      </c>
      <c r="G57" s="3">
        <f t="shared" si="4"/>
        <v>4.3111372144000333</v>
      </c>
      <c r="H57" s="3">
        <f t="shared" si="3"/>
        <v>4</v>
      </c>
      <c r="I57" s="7">
        <f t="shared" si="0"/>
        <v>4000</v>
      </c>
      <c r="K57" s="3">
        <f>LOG(F57,2)</f>
        <v>5.5235619560570131</v>
      </c>
      <c r="L57" s="3">
        <f t="shared" si="1"/>
        <v>6</v>
      </c>
      <c r="M57" s="3"/>
      <c r="N57" s="7">
        <f>I57*L57</f>
        <v>24000</v>
      </c>
      <c r="P57" s="6">
        <f t="shared" si="2"/>
        <v>205962976</v>
      </c>
      <c r="R57" s="9">
        <f>P57-14735917</f>
        <v>191227059</v>
      </c>
    </row>
    <row r="58" spans="6:18" x14ac:dyDescent="0.25">
      <c r="F58" s="3">
        <v>47</v>
      </c>
      <c r="G58" s="3">
        <f t="shared" si="4"/>
        <v>4.2870560073243773</v>
      </c>
      <c r="H58" s="3">
        <f t="shared" si="3"/>
        <v>4</v>
      </c>
      <c r="I58" s="7">
        <f t="shared" si="0"/>
        <v>4000</v>
      </c>
      <c r="K58" s="3">
        <f>LOG(F58,2)</f>
        <v>5.5545888516776376</v>
      </c>
      <c r="L58" s="3">
        <f t="shared" si="1"/>
        <v>6</v>
      </c>
      <c r="M58" s="3"/>
      <c r="N58" s="7">
        <f>I58*L58</f>
        <v>24000</v>
      </c>
      <c r="P58" s="6">
        <f t="shared" si="2"/>
        <v>229345007</v>
      </c>
      <c r="R58" s="9">
        <f>P58-14735917</f>
        <v>214609090</v>
      </c>
    </row>
    <row r="59" spans="6:18" x14ac:dyDescent="0.25">
      <c r="F59" s="3">
        <v>48</v>
      </c>
      <c r="G59" s="3">
        <f t="shared" si="4"/>
        <v>4.2637409833507034</v>
      </c>
      <c r="H59" s="3">
        <f t="shared" si="3"/>
        <v>4</v>
      </c>
      <c r="I59" s="7">
        <f t="shared" si="0"/>
        <v>4000</v>
      </c>
      <c r="K59" s="3">
        <f>LOG(F59,2)</f>
        <v>5.584962500721157</v>
      </c>
      <c r="L59" s="3">
        <f t="shared" si="1"/>
        <v>6</v>
      </c>
      <c r="M59" s="3"/>
      <c r="N59" s="7">
        <f>I59*L59</f>
        <v>24000</v>
      </c>
      <c r="P59" s="6">
        <f t="shared" si="2"/>
        <v>254803968</v>
      </c>
      <c r="R59" s="9">
        <f>P59-14735917</f>
        <v>240068051</v>
      </c>
    </row>
    <row r="60" spans="6:18" x14ac:dyDescent="0.25">
      <c r="F60" s="3">
        <v>49</v>
      </c>
      <c r="G60" s="3">
        <f t="shared" si="4"/>
        <v>4.2411512199085264</v>
      </c>
      <c r="H60" s="3">
        <f t="shared" si="3"/>
        <v>4</v>
      </c>
      <c r="I60" s="7">
        <f t="shared" si="0"/>
        <v>4000</v>
      </c>
      <c r="K60" s="3">
        <f>LOG(F60,2)</f>
        <v>5.6147098441152083</v>
      </c>
      <c r="L60" s="3">
        <f t="shared" si="1"/>
        <v>6</v>
      </c>
      <c r="M60" s="3"/>
      <c r="N60" s="7">
        <f>I60*L60</f>
        <v>24000</v>
      </c>
      <c r="P60" s="6">
        <f t="shared" si="2"/>
        <v>282475249</v>
      </c>
      <c r="R60" s="9">
        <f>P60-14735917</f>
        <v>267739332</v>
      </c>
    </row>
    <row r="61" spans="6:18" x14ac:dyDescent="0.25">
      <c r="F61" s="3">
        <v>50</v>
      </c>
      <c r="G61" s="3">
        <f t="shared" si="4"/>
        <v>4.2192488086327593</v>
      </c>
      <c r="H61" s="3">
        <f t="shared" si="3"/>
        <v>4</v>
      </c>
      <c r="I61" s="7">
        <f t="shared" si="0"/>
        <v>4000</v>
      </c>
      <c r="K61" s="3">
        <f>LOG(F61,2)</f>
        <v>5.6438561897747244</v>
      </c>
      <c r="L61" s="3">
        <f t="shared" si="1"/>
        <v>6</v>
      </c>
      <c r="M61" s="3"/>
      <c r="N61" s="7">
        <f>I61*L61</f>
        <v>24000</v>
      </c>
      <c r="P61" s="6">
        <f t="shared" si="2"/>
        <v>312500000</v>
      </c>
      <c r="R61" s="9">
        <f>P61-14735917</f>
        <v>297764083</v>
      </c>
    </row>
    <row r="62" spans="6:18" x14ac:dyDescent="0.25">
      <c r="F62" s="3">
        <v>51</v>
      </c>
      <c r="G62" s="3">
        <f t="shared" si="4"/>
        <v>4.1979985754251095</v>
      </c>
      <c r="H62" s="3">
        <f t="shared" si="3"/>
        <v>4</v>
      </c>
      <c r="I62" s="7">
        <f t="shared" si="0"/>
        <v>4000</v>
      </c>
      <c r="K62" s="3">
        <f>LOG(F62,2)</f>
        <v>5.6724253419714961</v>
      </c>
      <c r="L62" s="3">
        <f t="shared" si="1"/>
        <v>6</v>
      </c>
      <c r="M62" s="3"/>
      <c r="N62" s="7">
        <f>I62*L62</f>
        <v>24000</v>
      </c>
      <c r="P62" s="6">
        <f t="shared" si="2"/>
        <v>345025251</v>
      </c>
      <c r="R62" s="9">
        <f>P62-14735917</f>
        <v>330289334</v>
      </c>
    </row>
    <row r="63" spans="6:18" x14ac:dyDescent="0.25">
      <c r="F63" s="3"/>
      <c r="G63" s="3"/>
      <c r="H63" s="3"/>
      <c r="I63" s="3"/>
      <c r="J6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 LICENCIAS LABORATORIOS</dc:creator>
  <cp:lastModifiedBy>ADMINISTRACIÓN LICENCIAS LABORATORIOS</cp:lastModifiedBy>
  <dcterms:created xsi:type="dcterms:W3CDTF">2026-08-11T16:03:28Z</dcterms:created>
  <dcterms:modified xsi:type="dcterms:W3CDTF">2026-08-11T17:00:49Z</dcterms:modified>
</cp:coreProperties>
</file>